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rathi/mro-sql-project/"/>
    </mc:Choice>
  </mc:AlternateContent>
  <xr:revisionPtr revIDLastSave="0" documentId="13_ncr:9_{C384D197-8EEF-EE4B-9D80-3ACB3D9B78E7}" xr6:coauthVersionLast="47" xr6:coauthVersionMax="47" xr10:uidLastSave="{00000000-0000-0000-0000-000000000000}"/>
  <bookViews>
    <workbookView xWindow="0" yWindow="0" windowWidth="33600" windowHeight="21000" xr2:uid="{F73B1F4B-597E-C34F-8663-4F7A7A4A51D3}"/>
  </bookViews>
  <sheets>
    <sheet name="mro0003_month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6" i="1" s="1"/>
  <c r="E17" i="1"/>
  <c r="E13" i="1"/>
  <c r="E12" i="1"/>
  <c r="E5" i="1"/>
  <c r="E4" i="1"/>
  <c r="E3" i="1"/>
  <c r="E2" i="1"/>
  <c r="E15" i="1" l="1"/>
</calcChain>
</file>

<file path=xl/sharedStrings.xml><?xml version="1.0" encoding="utf-8"?>
<sst xmlns="http://schemas.openxmlformats.org/spreadsheetml/2006/main" count="30" uniqueCount="30">
  <si>
    <t>month_name</t>
  </si>
  <si>
    <t>consumed_qty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</si>
  <si>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</si>
  <si>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</si>
  <si>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</si>
  <si>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</si>
  <si>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</si>
  <si>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</si>
  <si>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</si>
  <si>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</si>
  <si>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</si>
  <si>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</si>
  <si>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</si>
  <si>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</si>
  <si>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Annual qty</t>
  </si>
  <si>
    <t>Mean monthly</t>
  </si>
  <si>
    <t>Std dev monthly</t>
  </si>
  <si>
    <t>CV</t>
  </si>
  <si>
    <t>Lead time (days)</t>
  </si>
  <si>
    <t>Lead time std dev</t>
  </si>
  <si>
    <t>Unit cost</t>
  </si>
  <si>
    <t>Ordering cost</t>
  </si>
  <si>
    <t>Holding rate</t>
  </si>
  <si>
    <t>Z (class A, 99%)</t>
  </si>
  <si>
    <t>Daily demand</t>
  </si>
  <si>
    <t>Daily std dev</t>
  </si>
  <si>
    <t>Safety stock (raw)</t>
  </si>
  <si>
    <t>Safety stock</t>
  </si>
  <si>
    <t>Reorder point</t>
  </si>
  <si>
    <t>EOQ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</si>
</sst>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5EAA-56B5-E84C-9C5C-1FA2070D893F}">
  <dimension ref="A1:F17"/>
  <sheetViews>
    <sheetView tabSelected="1" workbookViewId="0">
      <selection activeCell="E17" sqref="E17"/>
    </sheetView>
  </sheetViews>
  <sheetFormatPr baseColWidth="10" defaultRowHeight="16" x14ac:dyDescent="0.2"/>
  <cols>
    <col min="1" max="1" width="11.6640625" bestFit="1" customWidth="1"/>
    <col min="2" max="2" width="12.83203125" bestFit="1" customWidth="1"/>
    <col min="4" max="4" width="26.5" customWidth="1"/>
    <col min="5" max="5" width="16.1640625" customWidth="1"/>
    <col min="6" max="6" width="13.83203125" bestFit="1" customWidth="1"/>
    <col min="8" max="8" width="14.33203125" bestFit="1" customWidth="1"/>
    <col min="9" max="9" width="15" bestFit="1" customWidth="1"/>
    <col min="10" max="10" width="8.33203125" bestFit="1" customWidth="1"/>
    <col min="11" max="11" width="12" bestFit="1" customWidth="1"/>
    <col min="12" max="12" width="11" bestFit="1" customWidth="1"/>
    <col min="13" max="13" width="13.6640625" bestFit="1" customWidth="1"/>
    <col min="14" max="14" width="12.1640625" bestFit="1" customWidth="1"/>
    <col min="15" max="15" width="11.33203125" bestFit="1" customWidth="1"/>
    <col min="16" max="16" width="15.5" bestFit="1" customWidth="1"/>
    <col min="17" max="17" width="10.83203125" bestFit="1" customWidth="1"/>
    <col min="18" max="18" width="12.1640625" bestFit="1" customWidth="1"/>
  </cols>
  <sheetData>
    <row r="1" spans="1:6" x14ac:dyDescent="0.2">
      <c r="A1" t="s">
        <v>0</v>
      </c>
      <c r="B1" t="s">
        <v>1</v>
      </c>
    </row>
    <row r="2" spans="1:6" ht="17" x14ac:dyDescent="0.25">
      <c r="A2" t="s">
        <v>2</v>
      </c>
      <c r="B2">
        <v>48</v>
      </c>
      <c r="D2" s="2" t="s">
        <v>14</v>
      </c>
      <c r="E2" s="4">
        <f>SUM(B2:B13)</f>
        <v>420</v>
      </c>
      <c r="F2" s="1"/>
    </row>
    <row r="3" spans="1:6" x14ac:dyDescent="0.2">
      <c r="A3" t="s">
        <v>3</v>
      </c>
      <c r="B3">
        <v>44</v>
      </c>
      <c r="D3" s="2" t="s">
        <v>15</v>
      </c>
      <c r="E3" s="5">
        <f>AVERAGE(B2:B13)</f>
        <v>35</v>
      </c>
      <c r="F3" s="3"/>
    </row>
    <row r="4" spans="1:6" x14ac:dyDescent="0.2">
      <c r="A4" t="s">
        <v>4</v>
      </c>
      <c r="B4">
        <v>8</v>
      </c>
      <c r="D4" s="2" t="s">
        <v>16</v>
      </c>
      <c r="E4" s="5">
        <f>_xlfn.STDEV.P(B2:B13)</f>
        <v>16.467138994575429</v>
      </c>
      <c r="F4" s="3"/>
    </row>
    <row r="5" spans="1:6" x14ac:dyDescent="0.2">
      <c r="A5" t="s">
        <v>5</v>
      </c>
      <c r="B5">
        <v>23</v>
      </c>
      <c r="D5" s="2" t="s">
        <v>17</v>
      </c>
      <c r="E5" s="5">
        <f>E4/E3</f>
        <v>0.47048968555929793</v>
      </c>
      <c r="F5" s="3"/>
    </row>
    <row r="6" spans="1:6" ht="17" x14ac:dyDescent="0.25">
      <c r="A6" t="s">
        <v>6</v>
      </c>
      <c r="B6">
        <v>38</v>
      </c>
      <c r="D6" s="2" t="s">
        <v>18</v>
      </c>
      <c r="E6" s="4">
        <v>36</v>
      </c>
      <c r="F6" s="1"/>
    </row>
    <row r="7" spans="1:6" x14ac:dyDescent="0.2">
      <c r="A7" t="s">
        <v>7</v>
      </c>
      <c r="B7">
        <v>57</v>
      </c>
      <c r="D7" s="2" t="s">
        <v>19</v>
      </c>
      <c r="E7" s="4">
        <v>8.1999999999999993</v>
      </c>
      <c r="F7" s="3"/>
    </row>
    <row r="8" spans="1:6" x14ac:dyDescent="0.2">
      <c r="A8" t="s">
        <v>8</v>
      </c>
      <c r="B8">
        <v>17</v>
      </c>
      <c r="D8" s="2" t="s">
        <v>20</v>
      </c>
      <c r="E8" s="5">
        <v>432.13</v>
      </c>
      <c r="F8" s="3"/>
    </row>
    <row r="9" spans="1:6" x14ac:dyDescent="0.2">
      <c r="A9" t="s">
        <v>9</v>
      </c>
      <c r="B9">
        <v>16</v>
      </c>
      <c r="D9" s="2" t="s">
        <v>21</v>
      </c>
      <c r="E9" s="5">
        <v>27.8</v>
      </c>
      <c r="F9" s="3"/>
    </row>
    <row r="10" spans="1:6" ht="17" x14ac:dyDescent="0.25">
      <c r="A10" t="s">
        <v>10</v>
      </c>
      <c r="B10">
        <v>23</v>
      </c>
      <c r="D10" s="2" t="s">
        <v>22</v>
      </c>
      <c r="E10" s="4">
        <v>0.2</v>
      </c>
      <c r="F10" s="1"/>
    </row>
    <row r="11" spans="1:6" x14ac:dyDescent="0.2">
      <c r="A11" t="s">
        <v>11</v>
      </c>
      <c r="B11">
        <v>57</v>
      </c>
      <c r="D11" s="2" t="s">
        <v>23</v>
      </c>
      <c r="E11" s="5">
        <v>2.33</v>
      </c>
      <c r="F11" s="3"/>
    </row>
    <row r="12" spans="1:6" x14ac:dyDescent="0.2">
      <c r="A12" t="s">
        <v>12</v>
      </c>
      <c r="B12">
        <v>53</v>
      </c>
      <c r="D12" s="2" t="s">
        <v>24</v>
      </c>
      <c r="E12" s="3">
        <f>E2/365</f>
        <v>1.1506849315068493</v>
      </c>
      <c r="F12" s="3"/>
    </row>
    <row r="13" spans="1:6" x14ac:dyDescent="0.2">
      <c r="A13" t="s">
        <v>13</v>
      </c>
      <c r="B13">
        <v>36</v>
      </c>
      <c r="D13" s="2" t="s">
        <v>25</v>
      </c>
      <c r="E13">
        <f>E4/SQRT(365/12)</f>
        <v>2.9858111951613227</v>
      </c>
      <c r="F13" s="3"/>
    </row>
    <row r="14" spans="1:6" x14ac:dyDescent="0.2">
      <c r="D14" s="2" t="s">
        <v>26</v>
      </c>
      <c r="E14">
        <f>E11*SQRT(E6*E13^2+E12^2*E7^2)</f>
        <v>47.177369309873434</v>
      </c>
    </row>
    <row r="15" spans="1:6" x14ac:dyDescent="0.2">
      <c r="D15" s="2" t="s">
        <v>27</v>
      </c>
      <c r="E15">
        <f>ROUNDUP(E14,0)</f>
        <v>48</v>
      </c>
    </row>
    <row r="16" spans="1:6" x14ac:dyDescent="0.2">
      <c r="D16" s="2" t="s">
        <v>28</v>
      </c>
      <c r="E16">
        <f>ROUNDUP(E12*E6+E14,0)</f>
        <v>89</v>
      </c>
    </row>
    <row r="17" spans="4:5" x14ac:dyDescent="0.2">
      <c r="D17" s="2" t="s">
        <v>29</v>
      </c>
      <c r="E17">
        <f>ROUNDUP(SQRT(2*E2*E9/(E10*E8)),0)</f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mro0003_months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rathi</dc:creator>
  <cp:lastModifiedBy>aman rathi</cp:lastModifiedBy>
  <dcterms:created xsi:type="dcterms:W3CDTF">2026-10-18T06:39:00Z</dcterms:created>
  <dcterms:modified xsi:type="dcterms:W3CDTF">2026-10-18T07:17:27Z</dcterms:modified>
</cp:coreProperties>
</file>